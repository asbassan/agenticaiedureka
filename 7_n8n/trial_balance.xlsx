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Bal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<sst xmlns="http://schemas.openxmlformats.org/spreadsheetml/2006/main" count="64" uniqueCount="64">
  <si>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Meridian Manufacturing Inc.</t>
  </si>
  <si>
    <t xml:space="preserve">Trial Balance</t>
  </si>
  <si>
    <t xml:space="preserve">As of December 31, 2025</t>
  </si>
  <si>
    <t xml:space="preserve">Account Code</t>
  </si>
  <si>
    <t xml:space="preserve">Account Name</t>
  </si>
  <si>
    <t xml:space="preserve">Debit ($)</t>
  </si>
  <si>
    <t xml:space="preserve">Credit ($)</t>
  </si>
  <si>
    <t xml:space="preserve">ASSETS</t>
  </si>
  <si>
    <t xml:space="preserve">Cash - Operating Account</t>
  </si>
  <si>
    <t xml:space="preserve">Cash - Payroll Account</t>
  </si>
  <si>
    <t xml:space="preserve">Accounts Receivable</t>
  </si>
  <si>
    <t xml:space="preserve">Allowance for Doubtful Accounts</t>
  </si>
  <si>
    <t xml:space="preserve">Inventory - Raw Materials</t>
  </si>
  <si>
    <t xml:space="preserve">Inventory - Finished Goods</t>
  </si>
  <si>
    <t xml:space="preserve">Prepaid Insurance</t>
  </si>
  <si>
    <t xml:space="preserve">Prepaid Rent</t>
  </si>
  <si>
    <t xml:space="preserve">Property, Plant &amp; Equipment</t>
  </si>
  <si>
    <t xml:space="preserve">Accumulated Depreciation</t>
  </si>
  <si>
    <t xml:space="preserve">Intangible Assets - Software</t>
  </si>
  <si>
    <t xml:space="preserve">Accumulated Amortization</t>
  </si>
  <si>
    <t xml:space="preserve">LIABILITIES</t>
  </si>
  <si>
    <t xml:space="preserve">Accounts Payable</t>
  </si>
  <si>
    <t xml:space="preserve">Accrued Salaries &amp; Wages</t>
  </si>
  <si>
    <t xml:space="preserve">Accrued Payroll Taxes</t>
  </si>
  <si>
    <t xml:space="preserve">Sales Tax Payable</t>
  </si>
  <si>
    <t xml:space="preserve">Current Portion of Long-Term Debt</t>
  </si>
  <si>
    <t xml:space="preserve">Line of Credit Payable</t>
  </si>
  <si>
    <t xml:space="preserve">Long-Term Debt</t>
  </si>
  <si>
    <t xml:space="preserve">Deferred Revenue</t>
  </si>
  <si>
    <t xml:space="preserve">EQUITY</t>
  </si>
  <si>
    <t xml:space="preserve">Common Stock</t>
  </si>
  <si>
    <t xml:space="preserve">Additional Paid-in Capital</t>
  </si>
  <si>
    <t xml:space="preserve">Retained Earnings (Opening)</t>
  </si>
  <si>
    <t xml:space="preserve">REVENUE</t>
  </si>
  <si>
    <t xml:space="preserve">Sales Revenue - Product A</t>
  </si>
  <si>
    <t xml:space="preserve">Sales Revenue - Product B</t>
  </si>
  <si>
    <t xml:space="preserve">Service Revenue</t>
  </si>
  <si>
    <t xml:space="preserve">Sales Returns &amp; Allowances</t>
  </si>
  <si>
    <t xml:space="preserve">COST OF GOODS SOLD</t>
  </si>
  <si>
    <t xml:space="preserve">COGS - Raw Materials</t>
  </si>
  <si>
    <t xml:space="preserve">COGS - Direct Labor</t>
  </si>
  <si>
    <t xml:space="preserve">COGS - Manufacturing Overhead</t>
  </si>
  <si>
    <t xml:space="preserve">OPERATING EXPENSES</t>
  </si>
  <si>
    <t xml:space="preserve">Salaries &amp; Wages - Admin</t>
  </si>
  <si>
    <t xml:space="preserve">Salaries &amp; Wages - Sales</t>
  </si>
  <si>
    <t xml:space="preserve">Employee Benefits</t>
  </si>
  <si>
    <t xml:space="preserve">Rent Expense</t>
  </si>
  <si>
    <t xml:space="preserve">Utilities Expense</t>
  </si>
  <si>
    <t xml:space="preserve">Depreciation Expense</t>
  </si>
  <si>
    <t xml:space="preserve">Amortization Expense</t>
  </si>
  <si>
    <t xml:space="preserve">Marketing &amp; Advertising</t>
  </si>
  <si>
    <t xml:space="preserve">Professional Fees (Legal/Accounting)</t>
  </si>
  <si>
    <t xml:space="preserve">Insurance Expense</t>
  </si>
  <si>
    <t xml:space="preserve">Office Supplies &amp; Misc.</t>
  </si>
  <si>
    <t xml:space="preserve">Travel &amp; Entertainment</t>
  </si>
  <si>
    <t xml:space="preserve">IT &amp; Software Subscriptions</t>
  </si>
  <si>
    <t xml:space="preserve">OTHER INCOME / EXPENSE</t>
  </si>
  <si>
    <t xml:space="preserve">Interest Expense</t>
  </si>
  <si>
    <t xml:space="preserve">Interest Income</t>
  </si>
  <si>
    <t xml:space="preserve">Gain on Sale of Equipment</t>
  </si>
  <si>
    <t xml:space="preserve">INCOME TAX</t>
  </si>
  <si>
    <t xml:space="preserve">Income Tax Expense</t>
  </si>
  <si>
    <t xml:space="preserve">TOTAL</t>
  </si>
  <si>
    <t xml:space="preserve">Difference (should be $0):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</si>
</sst>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B6" s="5" t="s">
        <v>7</v>
      </c>
    </row>
    <row r="7" customFormat="false" ht="15" hidden="false" customHeight="false" outlineLevel="0" collapsed="false">
      <c r="A7" s="6" t="n">
        <v>1000</v>
      </c>
      <c r="B7" s="6" t="s">
        <v>8</v>
      </c>
      <c r="C7" s="7" t="n">
        <v>245000</v>
      </c>
      <c r="D7" s="7"/>
    </row>
    <row r="8" customFormat="false" ht="15" hidden="false" customHeight="false" outlineLevel="0" collapsed="false">
      <c r="A8" s="6" t="n">
        <v>1010</v>
      </c>
      <c r="B8" s="6" t="s">
        <v>9</v>
      </c>
      <c r="C8" s="7" t="n">
        <v>35000</v>
      </c>
      <c r="D8" s="7"/>
    </row>
    <row r="9" customFormat="false" ht="15" hidden="false" customHeight="false" outlineLevel="0" collapsed="false">
      <c r="A9" s="6" t="n">
        <v>1100</v>
      </c>
      <c r="B9" s="6" t="s">
        <v>10</v>
      </c>
      <c r="C9" s="7" t="n">
        <v>412500</v>
      </c>
      <c r="D9" s="7"/>
    </row>
    <row r="10" customFormat="false" ht="15" hidden="false" customHeight="false" outlineLevel="0" collapsed="false">
      <c r="A10" s="6" t="n">
        <v>1150</v>
      </c>
      <c r="B10" s="6" t="s">
        <v>11</v>
      </c>
      <c r="C10" s="7"/>
      <c r="D10" s="7" t="n">
        <v>18000</v>
      </c>
    </row>
    <row r="11" customFormat="false" ht="15" hidden="false" customHeight="false" outlineLevel="0" collapsed="false">
      <c r="A11" s="6" t="n">
        <v>1200</v>
      </c>
      <c r="B11" s="6" t="s">
        <v>12</v>
      </c>
      <c r="C11" s="7" t="n">
        <v>165000</v>
      </c>
      <c r="D11" s="7"/>
    </row>
    <row r="12" customFormat="false" ht="15" hidden="false" customHeight="false" outlineLevel="0" collapsed="false">
      <c r="A12" s="6" t="n">
        <v>1210</v>
      </c>
      <c r="B12" s="6" t="s">
        <v>13</v>
      </c>
      <c r="C12" s="7" t="n">
        <v>228000</v>
      </c>
      <c r="D12" s="7"/>
    </row>
    <row r="13" customFormat="false" ht="15" hidden="false" customHeight="false" outlineLevel="0" collapsed="false">
      <c r="A13" s="6" t="n">
        <v>1300</v>
      </c>
      <c r="B13" s="6" t="s">
        <v>14</v>
      </c>
      <c r="C13" s="7" t="n">
        <v>24000</v>
      </c>
      <c r="D13" s="7"/>
    </row>
    <row r="14" customFormat="false" ht="15" hidden="false" customHeight="false" outlineLevel="0" collapsed="false">
      <c r="A14" s="6" t="n">
        <v>1310</v>
      </c>
      <c r="B14" s="6" t="s">
        <v>15</v>
      </c>
      <c r="C14" s="7" t="n">
        <v>12000</v>
      </c>
      <c r="D14" s="7"/>
    </row>
    <row r="15" customFormat="false" ht="15" hidden="false" customHeight="false" outlineLevel="0" collapsed="false">
      <c r="A15" s="6" t="n">
        <v>1400</v>
      </c>
      <c r="B15" s="6" t="s">
        <v>16</v>
      </c>
      <c r="C15" s="7" t="n">
        <v>1850000</v>
      </c>
      <c r="D15" s="7"/>
    </row>
    <row r="16" customFormat="false" ht="15" hidden="false" customHeight="false" outlineLevel="0" collapsed="false">
      <c r="A16" s="6" t="n">
        <v>1450</v>
      </c>
      <c r="B16" s="6" t="s">
        <v>17</v>
      </c>
      <c r="C16" s="7"/>
      <c r="D16" s="7" t="n">
        <v>620000</v>
      </c>
    </row>
    <row r="17" customFormat="false" ht="15" hidden="false" customHeight="false" outlineLevel="0" collapsed="false">
      <c r="A17" s="6" t="n">
        <v>1500</v>
      </c>
      <c r="B17" s="6" t="s">
        <v>18</v>
      </c>
      <c r="C17" s="7" t="n">
        <v>95000</v>
      </c>
      <c r="D17" s="7"/>
    </row>
    <row r="18" customFormat="false" ht="15" hidden="false" customHeight="false" outlineLevel="0" collapsed="false">
      <c r="A18" s="6" t="n">
        <v>1550</v>
      </c>
      <c r="B18" s="6" t="s">
        <v>19</v>
      </c>
      <c r="C18" s="7"/>
      <c r="D18" s="7" t="n">
        <v>38000</v>
      </c>
    </row>
    <row r="19" customFormat="false" ht="15" hidden="false" customHeight="false" outlineLevel="0" collapsed="false">
      <c r="B19" s="5" t="s">
        <v>20</v>
      </c>
    </row>
    <row r="20" customFormat="false" ht="15" hidden="false" customHeight="false" outlineLevel="0" collapsed="false">
      <c r="A20" s="6" t="n">
        <v>2000</v>
      </c>
      <c r="B20" s="6" t="s">
        <v>21</v>
      </c>
      <c r="C20" s="7"/>
      <c r="D20" s="7" t="n">
        <v>285000</v>
      </c>
    </row>
    <row r="21" customFormat="false" ht="15" hidden="false" customHeight="false" outlineLevel="0" collapsed="false">
      <c r="A21" s="6" t="n">
        <v>2100</v>
      </c>
      <c r="B21" s="6" t="s">
        <v>22</v>
      </c>
      <c r="C21" s="7"/>
      <c r="D21" s="7" t="n">
        <v>62500</v>
      </c>
    </row>
    <row r="22" customFormat="false" ht="15" hidden="false" customHeight="false" outlineLevel="0" collapsed="false">
      <c r="A22" s="6" t="n">
        <v>2110</v>
      </c>
      <c r="B22" s="6" t="s">
        <v>23</v>
      </c>
      <c r="C22" s="7"/>
      <c r="D22" s="7" t="n">
        <v>14200</v>
      </c>
    </row>
    <row r="23" customFormat="false" ht="15" hidden="false" customHeight="false" outlineLevel="0" collapsed="false">
      <c r="A23" s="6" t="n">
        <v>2200</v>
      </c>
      <c r="B23" s="6" t="s">
        <v>24</v>
      </c>
      <c r="C23" s="7"/>
      <c r="D23" s="7" t="n">
        <v>9800</v>
      </c>
    </row>
    <row r="24" customFormat="false" ht="15" hidden="false" customHeight="false" outlineLevel="0" collapsed="false">
      <c r="A24" s="6" t="n">
        <v>2300</v>
      </c>
      <c r="B24" s="6" t="s">
        <v>25</v>
      </c>
      <c r="C24" s="7"/>
      <c r="D24" s="7" t="n">
        <v>75000</v>
      </c>
    </row>
    <row r="25" customFormat="false" ht="15" hidden="false" customHeight="false" outlineLevel="0" collapsed="false">
      <c r="A25" s="6" t="n">
        <v>2400</v>
      </c>
      <c r="B25" s="6" t="s">
        <v>26</v>
      </c>
      <c r="C25" s="7"/>
      <c r="D25" s="7" t="n">
        <v>120000</v>
      </c>
    </row>
    <row r="26" customFormat="false" ht="15" hidden="false" customHeight="false" outlineLevel="0" collapsed="false">
      <c r="A26" s="6" t="n">
        <v>2500</v>
      </c>
      <c r="B26" s="6" t="s">
        <v>27</v>
      </c>
      <c r="C26" s="7"/>
      <c r="D26" s="7" t="n">
        <v>450000</v>
      </c>
    </row>
    <row r="27" customFormat="false" ht="15" hidden="false" customHeight="false" outlineLevel="0" collapsed="false">
      <c r="A27" s="6" t="n">
        <v>2600</v>
      </c>
      <c r="B27" s="6" t="s">
        <v>28</v>
      </c>
      <c r="C27" s="7"/>
      <c r="D27" s="7" t="n">
        <v>38000</v>
      </c>
    </row>
    <row r="28" customFormat="false" ht="15" hidden="false" customHeight="false" outlineLevel="0" collapsed="false">
      <c r="B28" s="5" t="s">
        <v>29</v>
      </c>
    </row>
    <row r="29" customFormat="false" ht="15" hidden="false" customHeight="false" outlineLevel="0" collapsed="false">
      <c r="A29" s="6" t="n">
        <v>3000</v>
      </c>
      <c r="B29" s="6" t="s">
        <v>30</v>
      </c>
      <c r="C29" s="7"/>
      <c r="D29" s="7" t="n">
        <v>100000</v>
      </c>
    </row>
    <row r="30" customFormat="false" ht="15" hidden="false" customHeight="false" outlineLevel="0" collapsed="false">
      <c r="A30" s="6" t="n">
        <v>3100</v>
      </c>
      <c r="B30" s="6" t="s">
        <v>31</v>
      </c>
      <c r="C30" s="7"/>
      <c r="D30" s="7" t="n">
        <v>400000</v>
      </c>
    </row>
    <row r="31" customFormat="false" ht="15" hidden="false" customHeight="false" outlineLevel="0" collapsed="false">
      <c r="A31" s="6" t="n">
        <v>3200</v>
      </c>
      <c r="B31" s="6" t="s">
        <v>32</v>
      </c>
      <c r="C31" s="7"/>
      <c r="D31" s="7" t="n">
        <v>936300</v>
      </c>
    </row>
    <row r="32" customFormat="false" ht="15" hidden="false" customHeight="false" outlineLevel="0" collapsed="false">
      <c r="B32" s="5" t="s">
        <v>33</v>
      </c>
    </row>
    <row r="33" customFormat="false" ht="15" hidden="false" customHeight="false" outlineLevel="0" collapsed="false">
      <c r="A33" s="6" t="n">
        <v>4000</v>
      </c>
      <c r="B33" s="6" t="s">
        <v>34</v>
      </c>
      <c r="C33" s="7"/>
      <c r="D33" s="7" t="n">
        <v>1850000</v>
      </c>
    </row>
    <row r="34" customFormat="false" ht="15" hidden="false" customHeight="false" outlineLevel="0" collapsed="false">
      <c r="A34" s="6" t="n">
        <v>4010</v>
      </c>
      <c r="B34" s="6" t="s">
        <v>35</v>
      </c>
      <c r="C34" s="7"/>
      <c r="D34" s="7" t="n">
        <v>975000</v>
      </c>
    </row>
    <row r="35" customFormat="false" ht="15" hidden="false" customHeight="false" outlineLevel="0" collapsed="false">
      <c r="A35" s="6" t="n">
        <v>4020</v>
      </c>
      <c r="B35" s="6" t="s">
        <v>36</v>
      </c>
      <c r="C35" s="7"/>
      <c r="D35" s="7" t="n">
        <v>312000</v>
      </c>
    </row>
    <row r="36" customFormat="false" ht="15" hidden="false" customHeight="false" outlineLevel="0" collapsed="false">
      <c r="A36" s="6" t="n">
        <v>4900</v>
      </c>
      <c r="B36" s="6" t="s">
        <v>37</v>
      </c>
      <c r="C36" s="7" t="n">
        <v>42000</v>
      </c>
      <c r="D36" s="7"/>
    </row>
    <row r="37" customFormat="false" ht="15" hidden="false" customHeight="false" outlineLevel="0" collapsed="false">
      <c r="B37" s="5" t="s">
        <v>38</v>
      </c>
    </row>
    <row r="38" customFormat="false" ht="15" hidden="false" customHeight="false" outlineLevel="0" collapsed="false">
      <c r="A38" s="6" t="n">
        <v>5000</v>
      </c>
      <c r="B38" s="6" t="s">
        <v>39</v>
      </c>
      <c r="C38" s="7" t="n">
        <v>985000</v>
      </c>
      <c r="D38" s="7"/>
    </row>
    <row r="39" customFormat="false" ht="15" hidden="false" customHeight="false" outlineLevel="0" collapsed="false">
      <c r="A39" s="6" t="n">
        <v>5010</v>
      </c>
      <c r="B39" s="6" t="s">
        <v>40</v>
      </c>
      <c r="C39" s="7" t="n">
        <v>512000</v>
      </c>
      <c r="D39" s="7"/>
    </row>
    <row r="40" customFormat="false" ht="15" hidden="false" customHeight="false" outlineLevel="0" collapsed="false">
      <c r="A40" s="6" t="n">
        <v>5020</v>
      </c>
      <c r="B40" s="6" t="s">
        <v>41</v>
      </c>
      <c r="C40" s="7" t="n">
        <v>218000</v>
      </c>
      <c r="D40" s="7"/>
    </row>
    <row r="41" customFormat="false" ht="15" hidden="false" customHeight="false" outlineLevel="0" collapsed="false">
      <c r="B41" s="5" t="s">
        <v>42</v>
      </c>
    </row>
    <row r="42" customFormat="false" ht="15" hidden="false" customHeight="false" outlineLevel="0" collapsed="false">
      <c r="A42" s="6" t="n">
        <v>6000</v>
      </c>
      <c r="B42" s="6" t="s">
        <v>43</v>
      </c>
      <c r="C42" s="7" t="n">
        <v>385000</v>
      </c>
      <c r="D42" s="7"/>
    </row>
    <row r="43" customFormat="false" ht="15" hidden="false" customHeight="false" outlineLevel="0" collapsed="false">
      <c r="A43" s="6" t="n">
        <v>6010</v>
      </c>
      <c r="B43" s="6" t="s">
        <v>44</v>
      </c>
      <c r="C43" s="7" t="n">
        <v>245000</v>
      </c>
      <c r="D43" s="7"/>
    </row>
    <row r="44" customFormat="false" ht="15" hidden="false" customHeight="false" outlineLevel="0" collapsed="false">
      <c r="A44" s="6" t="n">
        <v>6100</v>
      </c>
      <c r="B44" s="6" t="s">
        <v>45</v>
      </c>
      <c r="C44" s="7" t="n">
        <v>128000</v>
      </c>
      <c r="D44" s="7"/>
    </row>
    <row r="45" customFormat="false" ht="15" hidden="false" customHeight="false" outlineLevel="0" collapsed="false">
      <c r="A45" s="6" t="n">
        <v>6200</v>
      </c>
      <c r="B45" s="6" t="s">
        <v>46</v>
      </c>
      <c r="C45" s="7" t="n">
        <v>96000</v>
      </c>
      <c r="D45" s="7"/>
    </row>
    <row r="46" customFormat="false" ht="15" hidden="false" customHeight="false" outlineLevel="0" collapsed="false">
      <c r="A46" s="6" t="n">
        <v>6210</v>
      </c>
      <c r="B46" s="6" t="s">
        <v>47</v>
      </c>
      <c r="C46" s="7" t="n">
        <v>38500</v>
      </c>
      <c r="D46" s="7"/>
    </row>
    <row r="47" customFormat="false" ht="15" hidden="false" customHeight="false" outlineLevel="0" collapsed="false">
      <c r="A47" s="6" t="n">
        <v>6300</v>
      </c>
      <c r="B47" s="6" t="s">
        <v>48</v>
      </c>
      <c r="C47" s="7" t="n">
        <v>165000</v>
      </c>
      <c r="D47" s="7"/>
    </row>
    <row r="48" customFormat="false" ht="15" hidden="false" customHeight="false" outlineLevel="0" collapsed="false">
      <c r="A48" s="6" t="n">
        <v>6310</v>
      </c>
      <c r="B48" s="6" t="s">
        <v>49</v>
      </c>
      <c r="C48" s="7" t="n">
        <v>19000</v>
      </c>
      <c r="D48" s="7"/>
    </row>
    <row r="49" customFormat="false" ht="15" hidden="false" customHeight="false" outlineLevel="0" collapsed="false">
      <c r="A49" s="6" t="n">
        <v>6400</v>
      </c>
      <c r="B49" s="6" t="s">
        <v>50</v>
      </c>
      <c r="C49" s="7" t="n">
        <v>87000</v>
      </c>
      <c r="D49" s="7"/>
    </row>
    <row r="50" customFormat="false" ht="15" hidden="false" customHeight="false" outlineLevel="0" collapsed="false">
      <c r="A50" s="6" t="n">
        <v>6500</v>
      </c>
      <c r="B50" s="6" t="s">
        <v>51</v>
      </c>
      <c r="C50" s="7" t="n">
        <v>54000</v>
      </c>
      <c r="D50" s="7"/>
    </row>
    <row r="51" customFormat="false" ht="15" hidden="false" customHeight="false" outlineLevel="0" collapsed="false">
      <c r="A51" s="6" t="n">
        <v>6600</v>
      </c>
      <c r="B51" s="6" t="s">
        <v>52</v>
      </c>
      <c r="C51" s="7" t="n">
        <v>32000</v>
      </c>
      <c r="D51" s="7"/>
    </row>
    <row r="52" customFormat="false" ht="15" hidden="false" customHeight="false" outlineLevel="0" collapsed="false">
      <c r="A52" s="6" t="n">
        <v>6700</v>
      </c>
      <c r="B52" s="6" t="s">
        <v>53</v>
      </c>
      <c r="C52" s="7" t="n">
        <v>21500</v>
      </c>
      <c r="D52" s="7"/>
    </row>
    <row r="53" customFormat="false" ht="15" hidden="false" customHeight="false" outlineLevel="0" collapsed="false">
      <c r="A53" s="6" t="n">
        <v>6800</v>
      </c>
      <c r="B53" s="6" t="s">
        <v>54</v>
      </c>
      <c r="C53" s="7" t="n">
        <v>28000</v>
      </c>
      <c r="D53" s="7"/>
    </row>
    <row r="54" customFormat="false" ht="15" hidden="false" customHeight="false" outlineLevel="0" collapsed="false">
      <c r="A54" s="6" t="n">
        <v>6900</v>
      </c>
      <c r="B54" s="6" t="s">
        <v>55</v>
      </c>
      <c r="C54" s="7" t="n">
        <v>44000</v>
      </c>
      <c r="D54" s="7"/>
    </row>
    <row r="55" customFormat="false" ht="15" hidden="false" customHeight="false" outlineLevel="0" collapsed="false">
      <c r="B55" s="5" t="s">
        <v>56</v>
      </c>
    </row>
    <row r="56" customFormat="false" ht="15" hidden="false" customHeight="false" outlineLevel="0" collapsed="false">
      <c r="A56" s="6" t="n">
        <v>7000</v>
      </c>
      <c r="B56" s="6" t="s">
        <v>57</v>
      </c>
      <c r="C56" s="7" t="n">
        <v>58500</v>
      </c>
      <c r="D56" s="7"/>
    </row>
    <row r="57" customFormat="false" ht="15" hidden="false" customHeight="false" outlineLevel="0" collapsed="false">
      <c r="A57" s="6" t="n">
        <v>7100</v>
      </c>
      <c r="B57" s="6" t="s">
        <v>58</v>
      </c>
      <c r="C57" s="7"/>
      <c r="D57" s="7" t="n">
        <v>4200</v>
      </c>
    </row>
    <row r="58" customFormat="false" ht="15" hidden="false" customHeight="false" outlineLevel="0" collapsed="false">
      <c r="A58" s="6" t="n">
        <v>7200</v>
      </c>
      <c r="B58" s="6" t="s">
        <v>59</v>
      </c>
      <c r="C58" s="7"/>
      <c r="D58" s="7" t="n">
        <v>12000</v>
      </c>
    </row>
    <row r="59" customFormat="false" ht="15" hidden="false" customHeight="false" outlineLevel="0" collapsed="false">
      <c r="B59" s="5" t="s">
        <v>60</v>
      </c>
    </row>
    <row r="60" customFormat="false" ht="15" hidden="false" customHeight="false" outlineLevel="0" collapsed="false">
      <c r="A60" s="6" t="n">
        <v>8000</v>
      </c>
      <c r="B60" s="6" t="s">
        <v>61</v>
      </c>
      <c r="C60" s="7" t="n">
        <v>95000</v>
      </c>
      <c r="D60" s="7"/>
    </row>
    <row r="62" customFormat="false" ht="15" hidden="false" customHeight="false" outlineLevel="0" collapsed="false">
      <c r="B62" s="8" t="s">
        <v>62</v>
      </c>
      <c r="C62" s="9" t="n">
        <f aca="false">SUM(C6:C60)</f>
        <v>6320000</v>
      </c>
      <c r="D62" s="9" t="n">
        <f aca="false">SUM(D6:D60)</f>
        <v>6320000</v>
      </c>
    </row>
    <row r="64" customFormat="false" ht="15" hidden="false" customHeight="false" outlineLevel="0" collapsed="false">
      <c r="B64" s="10" t="s">
        <v>63</v>
      </c>
      <c r="C64" s="11" t="n">
        <f aca="false">C62-D62</f>
        <v>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2026-08-07T05:29:52Z</dcterms:created>
  <dc:creator>openpyxl</dc:creator>
  <dc:description/>
  <dc:language>en-US</dc:language>
  <cp:lastModifiedBy/>
  <dcterms:modified xsi:type="dcterms:W3CDTF">2026-08-07T05:29:52Z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